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618894191fc80c/Desktop/"/>
    </mc:Choice>
  </mc:AlternateContent>
  <xr:revisionPtr revIDLastSave="0" documentId="8_{871F0326-E23D-46D3-AA7C-2B8F046334AD}" xr6:coauthVersionLast="47" xr6:coauthVersionMax="47" xr10:uidLastSave="{00000000-0000-0000-0000-000000000000}"/>
  <bookViews>
    <workbookView xWindow="-110" yWindow="-110" windowWidth="19420" windowHeight="11020" xr2:uid="{C4358796-4F2A-47B7-B30D-F03BE64884A0}"/>
  </bookViews>
  <sheets>
    <sheet name="P&amp;L Statement" sheetId="2" r:id="rId1"/>
    <sheet name="Balance Sheet" sheetId="3" r:id="rId2"/>
    <sheet name="Cash Flow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D14" i="2"/>
  <c r="E14" i="2"/>
  <c r="F14" i="2"/>
  <c r="G14" i="2"/>
  <c r="H14" i="2"/>
  <c r="C14" i="2"/>
  <c r="D10" i="2"/>
  <c r="E10" i="2"/>
  <c r="F10" i="2"/>
  <c r="G10" i="2"/>
  <c r="H10" i="2"/>
  <c r="C10" i="2"/>
  <c r="D5" i="2"/>
  <c r="D36" i="2" s="1"/>
  <c r="E5" i="2"/>
  <c r="E36" i="2" s="1"/>
  <c r="F5" i="2"/>
  <c r="F36" i="2" s="1"/>
  <c r="G5" i="2"/>
  <c r="G31" i="2" s="1"/>
  <c r="H5" i="2"/>
  <c r="H38" i="2" s="1"/>
  <c r="C5" i="2"/>
  <c r="B4" i="2"/>
  <c r="F32" i="2" l="1"/>
  <c r="D38" i="2"/>
  <c r="D29" i="2"/>
  <c r="H34" i="2"/>
  <c r="G34" i="2"/>
  <c r="F34" i="2"/>
  <c r="F35" i="2"/>
  <c r="G36" i="2"/>
  <c r="D32" i="2"/>
  <c r="G32" i="2"/>
  <c r="E34" i="2"/>
  <c r="D34" i="2"/>
  <c r="G29" i="2"/>
  <c r="H29" i="2"/>
  <c r="D35" i="2"/>
  <c r="G30" i="2"/>
  <c r="E35" i="2"/>
  <c r="F30" i="2"/>
  <c r="D31" i="2"/>
  <c r="E30" i="2"/>
  <c r="H31" i="2"/>
  <c r="D30" i="2"/>
  <c r="H36" i="2"/>
  <c r="E32" i="2"/>
  <c r="H32" i="2"/>
  <c r="H30" i="2"/>
  <c r="G35" i="2"/>
  <c r="H35" i="2"/>
  <c r="E38" i="2"/>
  <c r="E31" i="2"/>
  <c r="F38" i="2"/>
  <c r="E29" i="2"/>
  <c r="F31" i="2"/>
  <c r="G38" i="2"/>
  <c r="F29" i="2"/>
  <c r="G13" i="2"/>
  <c r="G33" i="2" s="1"/>
  <c r="F13" i="2"/>
  <c r="F33" i="2" s="1"/>
  <c r="H13" i="2"/>
  <c r="H33" i="2" s="1"/>
  <c r="E13" i="2"/>
  <c r="E33" i="2" s="1"/>
  <c r="D13" i="2"/>
  <c r="D33" i="2" s="1"/>
  <c r="C13" i="2"/>
  <c r="C17" i="2" s="1"/>
  <c r="C19" i="2" s="1"/>
  <c r="C21" i="2" s="1"/>
  <c r="H17" i="2" l="1"/>
  <c r="H37" i="2" s="1"/>
  <c r="D17" i="2"/>
  <c r="D37" i="2" s="1"/>
  <c r="E17" i="2"/>
  <c r="E37" i="2" s="1"/>
  <c r="F17" i="2"/>
  <c r="F37" i="2" s="1"/>
  <c r="G17" i="2"/>
  <c r="G37" i="2" s="1"/>
  <c r="C25" i="2"/>
  <c r="C23" i="2"/>
  <c r="G19" i="2" l="1"/>
  <c r="G21" i="2" s="1"/>
  <c r="F19" i="2"/>
  <c r="F21" i="2" s="1"/>
  <c r="E19" i="2"/>
  <c r="E21" i="2" s="1"/>
  <c r="D19" i="2"/>
  <c r="D21" i="2" s="1"/>
  <c r="H19" i="2"/>
  <c r="H21" i="2" s="1"/>
  <c r="G25" i="2" l="1"/>
  <c r="G23" i="2"/>
  <c r="H25" i="2"/>
  <c r="H23" i="2"/>
  <c r="D25" i="2"/>
  <c r="D23" i="2"/>
  <c r="E23" i="2"/>
  <c r="E25" i="2"/>
  <c r="F23" i="2"/>
  <c r="F25" i="2"/>
</calcChain>
</file>

<file path=xl/sharedStrings.xml><?xml version="1.0" encoding="utf-8"?>
<sst xmlns="http://schemas.openxmlformats.org/spreadsheetml/2006/main" count="45" uniqueCount="28">
  <si>
    <t>Revenue</t>
  </si>
  <si>
    <t>COGS</t>
  </si>
  <si>
    <t>Gross Profit</t>
  </si>
  <si>
    <t>EBITDA</t>
  </si>
  <si>
    <t>Selling &amp; Admin Expenses</t>
  </si>
  <si>
    <t>Depreciation</t>
  </si>
  <si>
    <t>Interest</t>
  </si>
  <si>
    <t>EBT</t>
  </si>
  <si>
    <t>Taxes</t>
  </si>
  <si>
    <t>Net Profit</t>
  </si>
  <si>
    <t xml:space="preserve">INR (Crores) </t>
  </si>
  <si>
    <t>#</t>
  </si>
  <si>
    <t>EBIT</t>
  </si>
  <si>
    <t>PVR INOX</t>
  </si>
  <si>
    <t>Net Income</t>
  </si>
  <si>
    <t>Operating Revenue</t>
  </si>
  <si>
    <t>Other Income</t>
  </si>
  <si>
    <t>PBT</t>
  </si>
  <si>
    <t>SG&amp;A Expenses</t>
  </si>
  <si>
    <t>Movie Exhibition</t>
  </si>
  <si>
    <t>Food &amp; Beverages</t>
  </si>
  <si>
    <t>Advertisement</t>
  </si>
  <si>
    <t>Other</t>
  </si>
  <si>
    <t>Movie exhibition cost</t>
  </si>
  <si>
    <t>Consumption of food and beverages</t>
  </si>
  <si>
    <t>Employee benefits expense</t>
  </si>
  <si>
    <t>Other expenses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</si>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</sst>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%"/>
    <numFmt numFmtId="171" formatCode="0&quot;A&quot;"/>
    <numFmt numFmtId="172" formatCode="0&quot;F&quot;"/>
    <numFmt numFmtId="175" formatCode="#,##0.00;\(#,##0.00\)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rgb="FF0070C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10" fontId="0" fillId="0" borderId="0" xfId="1" applyNumberFormat="1" applyFont="1"/>
    <xf numFmtId="0" fontId="3" fillId="0" borderId="0" xfId="0" applyFont="1"/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2" fillId="3" borderId="0" xfId="0" applyFont="1" applyFill="1" applyAlignment="1">
      <alignment horizontal="left"/>
    </xf>
    <xf numFmtId="171" fontId="2" fillId="0" borderId="0" xfId="0" applyNumberFormat="1" applyFont="1"/>
    <xf numFmtId="172" fontId="2" fillId="0" borderId="0" xfId="0" applyNumberFormat="1" applyFont="1"/>
    <xf numFmtId="0" fontId="2" fillId="3" borderId="0" xfId="0" applyNumberFormat="1" applyFont="1" applyFill="1"/>
    <xf numFmtId="0" fontId="0" fillId="0" borderId="0" xfId="0" applyNumberForma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3" xfId="0" applyBorder="1" applyAlignment="1">
      <alignment horizontal="left"/>
    </xf>
    <xf numFmtId="175" fontId="0" fillId="0" borderId="1" xfId="0" applyNumberFormat="1" applyBorder="1" applyAlignment="1">
      <alignment horizontal="right" wrapText="1"/>
    </xf>
    <xf numFmtId="175" fontId="5" fillId="0" borderId="0" xfId="0" applyNumberFormat="1" applyFont="1" applyAlignment="1">
      <alignment horizontal="right" wrapText="1"/>
    </xf>
    <xf numFmtId="175" fontId="5" fillId="0" borderId="1" xfId="0" applyNumberFormat="1" applyFont="1" applyBorder="1" applyAlignment="1">
      <alignment horizontal="right" wrapText="1"/>
    </xf>
    <xf numFmtId="175" fontId="3" fillId="0" borderId="2" xfId="0" applyNumberFormat="1" applyFont="1" applyBorder="1" applyAlignment="1">
      <alignment horizontal="right" wrapText="1"/>
    </xf>
    <xf numFmtId="0" fontId="0" fillId="0" borderId="0" xfId="0" applyFont="1" applyAlignment="1">
      <alignment horizontal="left"/>
    </xf>
    <xf numFmtId="175" fontId="5" fillId="0" borderId="0" xfId="0" applyNumberFormat="1" applyFont="1" applyAlignment="1"/>
    <xf numFmtId="0" fontId="6" fillId="0" borderId="0" xfId="0" applyFont="1" applyBorder="1" applyAlignment="1">
      <alignment horizontal="right" wrapText="1"/>
    </xf>
    <xf numFmtId="0" fontId="6" fillId="0" borderId="3" xfId="0" applyFont="1" applyBorder="1" applyAlignment="1">
      <alignment horizontal="right" wrapText="1"/>
    </xf>
    <xf numFmtId="0" fontId="3" fillId="2" borderId="0" xfId="0" applyFont="1" applyFill="1"/>
    <xf numFmtId="0" fontId="3" fillId="4" borderId="0" xfId="0" applyFont="1" applyFill="1"/>
    <xf numFmtId="10" fontId="0" fillId="4" borderId="0" xfId="1" applyNumberFormat="1" applyFont="1" applyFill="1"/>
    <xf numFmtId="0" fontId="2" fillId="4" borderId="0" xfId="0" applyFont="1" applyFill="1" applyBorder="1"/>
    <xf numFmtId="0" fontId="4" fillId="4" borderId="0" xfId="0" applyFont="1" applyFill="1" applyBorder="1"/>
    <xf numFmtId="0" fontId="2" fillId="4" borderId="0" xfId="0" applyFont="1" applyFill="1" applyBorder="1" applyAlignment="1">
      <alignment horizontal="left"/>
    </xf>
    <xf numFmtId="175" fontId="4" fillId="4" borderId="0" xfId="0" applyNumberFormat="1" applyFont="1" applyFill="1" applyBorder="1" applyAlignment="1"/>
    <xf numFmtId="168" fontId="4" fillId="4" borderId="0" xfId="1" applyNumberFormat="1" applyFont="1" applyFill="1" applyBorder="1" applyAlignment="1"/>
    <xf numFmtId="0" fontId="4" fillId="4" borderId="0" xfId="0" applyFont="1" applyFill="1" applyBorder="1" applyAlignment="1">
      <alignment horizontal="left"/>
    </xf>
    <xf numFmtId="168" fontId="4" fillId="4" borderId="0" xfId="1" applyNumberFormat="1" applyFont="1" applyFill="1" applyBorder="1" applyAlignment="1">
      <alignment horizontal="right" wrapText="1"/>
    </xf>
  </cellXfs>
  <cellStyles count="2">
    <cellStyle name="Normal" xfId="0" builtinId="0"/>
    <cellStyle name="Percent" xfId="1" builtinId="5"/>
  </cellStyles>
  <dxfs count="1">
    <dxf>
      <font>
        <b val="0"/>
        <i/>
        <color theme="2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7946-9975-45FC-A67F-3A65DD7C176B}">
  <sheetPr>
    <pageSetUpPr autoPageBreaks="0"/>
  </sheetPr>
  <dimension ref="A2:I53"/>
  <sheetViews>
    <sheetView showGridLines="0" tabSelected="1" zoomScale="85" zoomScaleNormal="85" workbookViewId="0">
      <selection activeCell="J9" sqref="J9"/>
    </sheetView>
  </sheetViews>
  <sheetFormatPr defaultRowHeight="14.5" outlineLevelRow="1" x14ac:dyDescent="0.35"/>
  <cols>
    <col min="1" max="1" width="1.90625" bestFit="1" customWidth="1"/>
    <col min="2" max="2" width="31.54296875" bestFit="1" customWidth="1"/>
    <col min="3" max="3" width="8.453125" bestFit="1" customWidth="1"/>
    <col min="4" max="5" width="9.7265625" bestFit="1" customWidth="1"/>
    <col min="6" max="8" width="8.453125" bestFit="1" customWidth="1"/>
    <col min="10" max="10" width="13.7265625" customWidth="1"/>
    <col min="12" max="12" width="9.6328125" bestFit="1" customWidth="1"/>
  </cols>
  <sheetData>
    <row r="2" spans="1:9" x14ac:dyDescent="0.35">
      <c r="B2" s="8" t="s">
        <v>10</v>
      </c>
      <c r="C2" s="11">
        <v>2020</v>
      </c>
      <c r="D2" s="11">
        <v>2021</v>
      </c>
      <c r="E2" s="11">
        <v>2022</v>
      </c>
      <c r="F2" s="11">
        <v>2023</v>
      </c>
      <c r="G2" s="11">
        <v>2024</v>
      </c>
      <c r="H2" s="11">
        <v>2025</v>
      </c>
      <c r="I2" s="12"/>
    </row>
    <row r="3" spans="1:9" x14ac:dyDescent="0.35">
      <c r="B3" s="5" t="s">
        <v>13</v>
      </c>
      <c r="C3" s="9"/>
      <c r="D3" s="9"/>
      <c r="E3" s="9"/>
      <c r="F3" s="10"/>
      <c r="G3" s="10"/>
      <c r="H3" s="10"/>
    </row>
    <row r="4" spans="1:9" x14ac:dyDescent="0.35">
      <c r="A4" s="13" t="s">
        <v>11</v>
      </c>
      <c r="B4" s="3" t="str">
        <f>"Income Statement"&amp;" - "&amp;B3</f>
        <v>Income Statement - PVR INOX</v>
      </c>
      <c r="C4" s="4"/>
      <c r="D4" s="4"/>
      <c r="E4" s="4"/>
      <c r="F4" s="4"/>
      <c r="G4" s="4"/>
      <c r="H4" s="4"/>
    </row>
    <row r="5" spans="1:9" x14ac:dyDescent="0.35">
      <c r="B5" s="5" t="s">
        <v>15</v>
      </c>
      <c r="C5" s="21">
        <f>C9+C8+C7+C6</f>
        <v>3284.1000000000004</v>
      </c>
      <c r="D5" s="21">
        <f t="shared" ref="D5:H5" si="0">D9+D8+D7+D6</f>
        <v>245.2</v>
      </c>
      <c r="E5" s="21">
        <f t="shared" si="0"/>
        <v>1309.0999999999999</v>
      </c>
      <c r="F5" s="21">
        <f t="shared" si="0"/>
        <v>3449.1</v>
      </c>
      <c r="G5" s="21">
        <f t="shared" si="0"/>
        <v>5780.4000000000005</v>
      </c>
      <c r="H5" s="21">
        <f t="shared" si="0"/>
        <v>5442.4</v>
      </c>
    </row>
    <row r="6" spans="1:9" outlineLevel="1" x14ac:dyDescent="0.35">
      <c r="B6" s="20" t="s">
        <v>19</v>
      </c>
      <c r="C6" s="22">
        <v>1844.7</v>
      </c>
      <c r="D6" s="22">
        <v>109.8</v>
      </c>
      <c r="E6" s="22">
        <v>683.8</v>
      </c>
      <c r="F6" s="22">
        <v>1812.3</v>
      </c>
      <c r="G6" s="22">
        <v>3012.3</v>
      </c>
      <c r="H6" s="22">
        <v>2823.5</v>
      </c>
    </row>
    <row r="7" spans="1:9" outlineLevel="1" x14ac:dyDescent="0.35">
      <c r="B7" s="20" t="s">
        <v>20</v>
      </c>
      <c r="C7" s="22">
        <v>949.1</v>
      </c>
      <c r="D7" s="22">
        <v>61.8</v>
      </c>
      <c r="E7" s="22">
        <v>361.3</v>
      </c>
      <c r="F7" s="22">
        <v>1031.5</v>
      </c>
      <c r="G7" s="22">
        <v>1832.4</v>
      </c>
      <c r="H7" s="22">
        <v>1663.3</v>
      </c>
    </row>
    <row r="8" spans="1:9" outlineLevel="1" x14ac:dyDescent="0.35">
      <c r="B8" s="20" t="s">
        <v>21</v>
      </c>
      <c r="C8" s="22">
        <v>361.8</v>
      </c>
      <c r="D8" s="22">
        <v>15.1</v>
      </c>
      <c r="E8" s="22">
        <v>136.19999999999999</v>
      </c>
      <c r="F8" s="22">
        <v>332.1</v>
      </c>
      <c r="G8" s="22">
        <v>432.1</v>
      </c>
      <c r="H8" s="22">
        <v>404.2</v>
      </c>
    </row>
    <row r="9" spans="1:9" outlineLevel="1" x14ac:dyDescent="0.35">
      <c r="B9" t="s">
        <v>22</v>
      </c>
      <c r="C9" s="22">
        <v>128.5</v>
      </c>
      <c r="D9" s="22">
        <v>58.5</v>
      </c>
      <c r="E9" s="22">
        <v>127.8</v>
      </c>
      <c r="F9" s="22">
        <v>273.2</v>
      </c>
      <c r="G9" s="22">
        <v>503.6</v>
      </c>
      <c r="H9" s="22">
        <v>551.4</v>
      </c>
    </row>
    <row r="10" spans="1:9" x14ac:dyDescent="0.35">
      <c r="B10" s="5" t="s">
        <v>1</v>
      </c>
      <c r="C10" s="21">
        <f>C12+C11</f>
        <v>1151.8</v>
      </c>
      <c r="D10" s="21">
        <f t="shared" ref="D10:H10" si="1">D12+D11</f>
        <v>94.300000000000011</v>
      </c>
      <c r="E10" s="21">
        <f t="shared" si="1"/>
        <v>463.1</v>
      </c>
      <c r="F10" s="21">
        <f t="shared" si="1"/>
        <v>1130.4000000000001</v>
      </c>
      <c r="G10" s="21">
        <f t="shared" si="1"/>
        <v>1852.1</v>
      </c>
      <c r="H10" s="21">
        <f t="shared" si="1"/>
        <v>1752.6</v>
      </c>
    </row>
    <row r="11" spans="1:9" outlineLevel="1" x14ac:dyDescent="0.35">
      <c r="B11" t="s">
        <v>23</v>
      </c>
      <c r="C11" s="22">
        <v>746.3</v>
      </c>
      <c r="D11" s="22">
        <v>55.1</v>
      </c>
      <c r="E11" s="22">
        <v>296.2</v>
      </c>
      <c r="F11" s="22">
        <v>742.1</v>
      </c>
      <c r="G11" s="22">
        <v>1193.2</v>
      </c>
      <c r="H11" s="22">
        <v>1118.8</v>
      </c>
    </row>
    <row r="12" spans="1:9" ht="15" outlineLevel="1" thickBot="1" x14ac:dyDescent="0.4">
      <c r="B12" t="s">
        <v>24</v>
      </c>
      <c r="C12" s="22">
        <v>405.5</v>
      </c>
      <c r="D12" s="22">
        <v>39.200000000000003</v>
      </c>
      <c r="E12" s="22">
        <v>166.9</v>
      </c>
      <c r="F12" s="22">
        <v>388.3</v>
      </c>
      <c r="G12" s="22">
        <v>658.9</v>
      </c>
      <c r="H12" s="22">
        <v>633.79999999999995</v>
      </c>
    </row>
    <row r="13" spans="1:9" x14ac:dyDescent="0.35">
      <c r="B13" s="14" t="s">
        <v>2</v>
      </c>
      <c r="C13" s="16">
        <f>C5-C10</f>
        <v>2132.3000000000002</v>
      </c>
      <c r="D13" s="16">
        <f>D5-D10</f>
        <v>150.89999999999998</v>
      </c>
      <c r="E13" s="16">
        <f>E5-E10</f>
        <v>845.99999999999989</v>
      </c>
      <c r="F13" s="16">
        <f>F5-F10</f>
        <v>2318.6999999999998</v>
      </c>
      <c r="G13" s="16">
        <f>G5-G10</f>
        <v>3928.3000000000006</v>
      </c>
      <c r="H13" s="16">
        <f>H5-H10</f>
        <v>3689.7999999999997</v>
      </c>
    </row>
    <row r="14" spans="1:9" x14ac:dyDescent="0.35">
      <c r="B14" s="6" t="s">
        <v>18</v>
      </c>
      <c r="C14" s="21">
        <f>C16+C15</f>
        <v>1176.4000000000001</v>
      </c>
      <c r="D14" s="21">
        <f t="shared" ref="D14:H14" si="2">D16+D15</f>
        <v>512.29999999999995</v>
      </c>
      <c r="E14" s="21">
        <f t="shared" si="2"/>
        <v>753.09999999999991</v>
      </c>
      <c r="F14" s="21">
        <f t="shared" si="2"/>
        <v>1392.5</v>
      </c>
      <c r="G14" s="21">
        <f t="shared" si="2"/>
        <v>2218.3999999999996</v>
      </c>
      <c r="H14" s="21">
        <f t="shared" si="2"/>
        <v>2275.4</v>
      </c>
    </row>
    <row r="15" spans="1:9" outlineLevel="1" x14ac:dyDescent="0.35">
      <c r="B15" t="s">
        <v>25</v>
      </c>
      <c r="C15" s="22">
        <v>313.2</v>
      </c>
      <c r="D15" s="22">
        <v>181.5</v>
      </c>
      <c r="E15" s="22">
        <v>221.3</v>
      </c>
      <c r="F15" s="22">
        <v>342.1</v>
      </c>
      <c r="G15" s="22">
        <v>518.29999999999995</v>
      </c>
      <c r="H15" s="22">
        <v>542.1</v>
      </c>
    </row>
    <row r="16" spans="1:9" ht="15" outlineLevel="1" thickBot="1" x14ac:dyDescent="0.4">
      <c r="B16" t="s">
        <v>26</v>
      </c>
      <c r="C16" s="22">
        <v>863.2</v>
      </c>
      <c r="D16" s="22">
        <v>330.8</v>
      </c>
      <c r="E16" s="22">
        <v>531.79999999999995</v>
      </c>
      <c r="F16" s="22">
        <v>1050.4000000000001</v>
      </c>
      <c r="G16" s="22">
        <v>1700.1</v>
      </c>
      <c r="H16" s="22">
        <v>1733.3</v>
      </c>
    </row>
    <row r="17" spans="1:9" x14ac:dyDescent="0.35">
      <c r="B17" s="14" t="s">
        <v>3</v>
      </c>
      <c r="C17" s="16">
        <f>C13-C14</f>
        <v>955.90000000000009</v>
      </c>
      <c r="D17" s="16">
        <f t="shared" ref="D17:H17" si="3">D13-D14</f>
        <v>-361.4</v>
      </c>
      <c r="E17" s="16">
        <f t="shared" si="3"/>
        <v>92.899999999999977</v>
      </c>
      <c r="F17" s="16">
        <f t="shared" si="3"/>
        <v>926.19999999999982</v>
      </c>
      <c r="G17" s="16">
        <f t="shared" si="3"/>
        <v>1709.900000000001</v>
      </c>
      <c r="H17" s="16">
        <f t="shared" si="3"/>
        <v>1414.3999999999996</v>
      </c>
    </row>
    <row r="18" spans="1:9" ht="15" thickBot="1" x14ac:dyDescent="0.4">
      <c r="B18" s="15" t="s">
        <v>5</v>
      </c>
      <c r="C18" s="23">
        <v>518.20000000000005</v>
      </c>
      <c r="D18" s="23">
        <v>542.1</v>
      </c>
      <c r="E18" s="23">
        <v>541.29999999999995</v>
      </c>
      <c r="F18" s="23">
        <v>709.1</v>
      </c>
      <c r="G18" s="23">
        <v>1152.3</v>
      </c>
      <c r="H18" s="23">
        <v>1218.3</v>
      </c>
    </row>
    <row r="19" spans="1:9" x14ac:dyDescent="0.35">
      <c r="B19" s="5" t="s">
        <v>12</v>
      </c>
      <c r="C19" s="17">
        <f>C17-C18</f>
        <v>437.70000000000005</v>
      </c>
      <c r="D19" s="17">
        <f t="shared" ref="D19:H19" si="4">D17-D18</f>
        <v>-903.5</v>
      </c>
      <c r="E19" s="17">
        <f t="shared" si="4"/>
        <v>-448.4</v>
      </c>
      <c r="F19" s="17">
        <f t="shared" si="4"/>
        <v>217.0999999999998</v>
      </c>
      <c r="G19" s="17">
        <f t="shared" si="4"/>
        <v>557.60000000000105</v>
      </c>
      <c r="H19" s="17">
        <f t="shared" si="4"/>
        <v>196.09999999999968</v>
      </c>
    </row>
    <row r="20" spans="1:9" ht="15" thickBot="1" x14ac:dyDescent="0.4">
      <c r="B20" s="6" t="s">
        <v>6</v>
      </c>
      <c r="C20" s="22">
        <v>464.3</v>
      </c>
      <c r="D20" s="22">
        <v>461.2</v>
      </c>
      <c r="E20" s="22">
        <v>458.1</v>
      </c>
      <c r="F20" s="22">
        <v>511.4</v>
      </c>
      <c r="G20" s="22">
        <v>751.2</v>
      </c>
      <c r="H20" s="22">
        <v>772.4</v>
      </c>
    </row>
    <row r="21" spans="1:9" x14ac:dyDescent="0.35">
      <c r="B21" s="14" t="s">
        <v>7</v>
      </c>
      <c r="C21" s="16">
        <f>C19-C20</f>
        <v>-26.599999999999966</v>
      </c>
      <c r="D21" s="16">
        <f t="shared" ref="D21:H21" si="5">D19-D20</f>
        <v>-1364.7</v>
      </c>
      <c r="E21" s="16">
        <f t="shared" si="5"/>
        <v>-906.5</v>
      </c>
      <c r="F21" s="16">
        <f t="shared" si="5"/>
        <v>-294.30000000000018</v>
      </c>
      <c r="G21" s="16">
        <f t="shared" si="5"/>
        <v>-193.599999999999</v>
      </c>
      <c r="H21" s="16">
        <f t="shared" si="5"/>
        <v>-576.3000000000003</v>
      </c>
    </row>
    <row r="22" spans="1:9" ht="15" thickBot="1" x14ac:dyDescent="0.4">
      <c r="B22" s="6" t="s">
        <v>16</v>
      </c>
      <c r="C22" s="22">
        <v>32.299999999999997</v>
      </c>
      <c r="D22" s="22">
        <v>442.1</v>
      </c>
      <c r="E22" s="22">
        <v>312.39999999999998</v>
      </c>
      <c r="F22" s="22">
        <v>64.2</v>
      </c>
      <c r="G22" s="22">
        <v>152.1</v>
      </c>
      <c r="H22" s="22">
        <v>168.3</v>
      </c>
    </row>
    <row r="23" spans="1:9" x14ac:dyDescent="0.35">
      <c r="B23" s="14" t="s">
        <v>17</v>
      </c>
      <c r="C23" s="18">
        <f>C21+C22</f>
        <v>5.7000000000000313</v>
      </c>
      <c r="D23" s="18">
        <f t="shared" ref="D23:H23" si="6">D21+D22</f>
        <v>-922.6</v>
      </c>
      <c r="E23" s="18">
        <f t="shared" si="6"/>
        <v>-594.1</v>
      </c>
      <c r="F23" s="18">
        <f t="shared" si="6"/>
        <v>-230.10000000000019</v>
      </c>
      <c r="G23" s="18">
        <f t="shared" si="6"/>
        <v>-41.499999999999005</v>
      </c>
      <c r="H23" s="18">
        <f t="shared" si="6"/>
        <v>-408.00000000000028</v>
      </c>
    </row>
    <row r="24" spans="1:9" ht="15" thickBot="1" x14ac:dyDescent="0.4">
      <c r="B24" s="6" t="s">
        <v>8</v>
      </c>
      <c r="C24" s="22">
        <v>2.1</v>
      </c>
      <c r="D24" s="22">
        <v>-184.2</v>
      </c>
      <c r="E24" s="22">
        <v>-115.3</v>
      </c>
      <c r="F24" s="22">
        <v>-132.1</v>
      </c>
      <c r="G24" s="22">
        <v>-11.2</v>
      </c>
      <c r="H24" s="22">
        <v>-102.1</v>
      </c>
    </row>
    <row r="25" spans="1:9" ht="15" thickBot="1" x14ac:dyDescent="0.4">
      <c r="B25" s="7" t="s">
        <v>14</v>
      </c>
      <c r="C25" s="19">
        <f>C21-C22</f>
        <v>-58.899999999999963</v>
      </c>
      <c r="D25" s="19">
        <f t="shared" ref="D25:H25" si="7">D21-D22</f>
        <v>-1806.8000000000002</v>
      </c>
      <c r="E25" s="19">
        <f t="shared" si="7"/>
        <v>-1218.9000000000001</v>
      </c>
      <c r="F25" s="19">
        <f t="shared" si="7"/>
        <v>-358.50000000000017</v>
      </c>
      <c r="G25" s="19">
        <f t="shared" si="7"/>
        <v>-345.69999999999902</v>
      </c>
      <c r="H25" s="19">
        <f t="shared" si="7"/>
        <v>-744.60000000000036</v>
      </c>
    </row>
    <row r="26" spans="1:9" ht="15" thickTop="1" x14ac:dyDescent="0.35"/>
    <row r="28" spans="1:9" x14ac:dyDescent="0.35">
      <c r="A28" s="2" t="s">
        <v>11</v>
      </c>
      <c r="B28" s="24" t="str">
        <f>"Common Size Statement"&amp;" - "&amp;B3</f>
        <v>Common Size Statement - PVR INOX</v>
      </c>
      <c r="C28" s="24"/>
      <c r="D28" s="24"/>
      <c r="E28" s="24"/>
      <c r="F28" s="24"/>
      <c r="G28" s="24"/>
      <c r="H28" s="24"/>
      <c r="I28" s="25"/>
    </row>
    <row r="29" spans="1:9" x14ac:dyDescent="0.35">
      <c r="B29" t="s">
        <v>0</v>
      </c>
      <c r="C29" t="s">
        <v>27</v>
      </c>
      <c r="D29" s="1">
        <f>D9/D$5</f>
        <v>0.23858075040783036</v>
      </c>
      <c r="E29" s="1">
        <f>E9/E$5</f>
        <v>9.7624322053319085E-2</v>
      </c>
      <c r="F29" s="1">
        <f>F9/F$5</f>
        <v>7.9209069032501231E-2</v>
      </c>
      <c r="G29" s="1">
        <f>G9/G$5</f>
        <v>8.7121998477613996E-2</v>
      </c>
      <c r="H29" s="1">
        <f>H9/H$5</f>
        <v>0.10131559606056152</v>
      </c>
      <c r="I29" s="26"/>
    </row>
    <row r="30" spans="1:9" x14ac:dyDescent="0.35">
      <c r="B30" t="s">
        <v>1</v>
      </c>
      <c r="C30" t="s">
        <v>27</v>
      </c>
      <c r="D30" s="1">
        <f>D10/D$5</f>
        <v>0.38458401305057105</v>
      </c>
      <c r="E30" s="1">
        <f>E10/E$5</f>
        <v>0.3537544878160569</v>
      </c>
      <c r="F30" s="1">
        <f>F10/F$5</f>
        <v>0.32773767069670351</v>
      </c>
      <c r="G30" s="1">
        <f>G10/G$5</f>
        <v>0.3204103522247595</v>
      </c>
      <c r="H30" s="1">
        <f>H10/H$5</f>
        <v>0.32202704689107747</v>
      </c>
      <c r="I30" s="26"/>
    </row>
    <row r="31" spans="1:9" x14ac:dyDescent="0.35">
      <c r="B31" t="s">
        <v>2</v>
      </c>
      <c r="C31" t="s">
        <v>27</v>
      </c>
      <c r="D31" s="1">
        <f>D11/D$5</f>
        <v>0.22471451876019577</v>
      </c>
      <c r="E31" s="1">
        <f>E11/E$5</f>
        <v>0.22626231762279431</v>
      </c>
      <c r="F31" s="1">
        <f>F11/F$5</f>
        <v>0.215157577339016</v>
      </c>
      <c r="G31" s="1">
        <f>G11/G$5</f>
        <v>0.20642170092035153</v>
      </c>
      <c r="H31" s="1">
        <f>H11/H$5</f>
        <v>0.20557107158606497</v>
      </c>
      <c r="I31" s="26"/>
    </row>
    <row r="32" spans="1:9" x14ac:dyDescent="0.35">
      <c r="B32" t="s">
        <v>4</v>
      </c>
      <c r="C32" t="s">
        <v>27</v>
      </c>
      <c r="D32" s="1">
        <f>D12/D$5</f>
        <v>0.15986949429037522</v>
      </c>
      <c r="E32" s="1">
        <f>E12/E$5</f>
        <v>0.12749217019326256</v>
      </c>
      <c r="F32" s="1">
        <f>F12/F$5</f>
        <v>0.11258009335768752</v>
      </c>
      <c r="G32" s="1">
        <f>G12/G$5</f>
        <v>0.11398865130440798</v>
      </c>
      <c r="H32" s="1">
        <f>H12/H$5</f>
        <v>0.11645597530501249</v>
      </c>
      <c r="I32" s="26"/>
    </row>
    <row r="33" spans="1:9" x14ac:dyDescent="0.35">
      <c r="B33" t="s">
        <v>3</v>
      </c>
      <c r="C33" t="s">
        <v>27</v>
      </c>
      <c r="D33" s="1">
        <f>D13/D$5</f>
        <v>0.61541598694942901</v>
      </c>
      <c r="E33" s="1">
        <f>E13/E$5</f>
        <v>0.6462455121839431</v>
      </c>
      <c r="F33" s="1">
        <f>F13/F$5</f>
        <v>0.67226232930329644</v>
      </c>
      <c r="G33" s="1">
        <f>G13/G$5</f>
        <v>0.67958964777524056</v>
      </c>
      <c r="H33" s="1">
        <f>H13/H$5</f>
        <v>0.67797295310892258</v>
      </c>
      <c r="I33" s="26"/>
    </row>
    <row r="34" spans="1:9" x14ac:dyDescent="0.35">
      <c r="B34" t="s">
        <v>5</v>
      </c>
      <c r="C34" t="s">
        <v>27</v>
      </c>
      <c r="D34" s="1">
        <f>D14/D$5</f>
        <v>2.0893148450244698</v>
      </c>
      <c r="E34" s="1">
        <f>E14/E$5</f>
        <v>0.57528072721717205</v>
      </c>
      <c r="F34" s="1">
        <f>F14/F$5</f>
        <v>0.40372850888637618</v>
      </c>
      <c r="G34" s="1">
        <f>G14/G$5</f>
        <v>0.38377966922704299</v>
      </c>
      <c r="H34" s="1">
        <f>H14/H$5</f>
        <v>0.41808760840805531</v>
      </c>
      <c r="I34" s="26"/>
    </row>
    <row r="35" spans="1:9" x14ac:dyDescent="0.35">
      <c r="B35" t="s">
        <v>6</v>
      </c>
      <c r="C35" t="s">
        <v>27</v>
      </c>
      <c r="D35" s="1">
        <f>D15/D$5</f>
        <v>0.7402120717781403</v>
      </c>
      <c r="E35" s="1">
        <f>E15/E$5</f>
        <v>0.16904743717057522</v>
      </c>
      <c r="F35" s="1">
        <f>F15/F$5</f>
        <v>9.9185294714563235E-2</v>
      </c>
      <c r="G35" s="1">
        <f>G15/G$5</f>
        <v>8.9665075081309234E-2</v>
      </c>
      <c r="H35" s="1">
        <f>H15/H$5</f>
        <v>9.9606791121564023E-2</v>
      </c>
      <c r="I35" s="26"/>
    </row>
    <row r="36" spans="1:9" x14ac:dyDescent="0.35">
      <c r="B36" t="s">
        <v>7</v>
      </c>
      <c r="C36" t="s">
        <v>27</v>
      </c>
      <c r="D36" s="1">
        <f>D16/D$5</f>
        <v>1.3491027732463297</v>
      </c>
      <c r="E36" s="1">
        <f>E16/E$5</f>
        <v>0.40623329004659692</v>
      </c>
      <c r="F36" s="1">
        <f>F16/F$5</f>
        <v>0.30454321417181296</v>
      </c>
      <c r="G36" s="1">
        <f>G16/G$5</f>
        <v>0.29411459414573382</v>
      </c>
      <c r="H36" s="1">
        <f>H16/H$5</f>
        <v>0.31848081728649125</v>
      </c>
      <c r="I36" s="26"/>
    </row>
    <row r="37" spans="1:9" x14ac:dyDescent="0.35">
      <c r="B37" t="s">
        <v>8</v>
      </c>
      <c r="C37" t="s">
        <v>27</v>
      </c>
      <c r="D37" s="1">
        <f>D17/D$5</f>
        <v>-1.4738988580750407</v>
      </c>
      <c r="E37" s="1">
        <f>E17/E$5</f>
        <v>7.0964784966771055E-2</v>
      </c>
      <c r="F37" s="1">
        <f>F17/F$5</f>
        <v>0.26853382041692031</v>
      </c>
      <c r="G37" s="1">
        <f>G17/G$5</f>
        <v>0.29580997854819752</v>
      </c>
      <c r="H37" s="1">
        <f>H17/H$5</f>
        <v>0.25988534470086722</v>
      </c>
      <c r="I37" s="26"/>
    </row>
    <row r="38" spans="1:9" x14ac:dyDescent="0.35">
      <c r="B38" t="s">
        <v>9</v>
      </c>
      <c r="C38" t="s">
        <v>27</v>
      </c>
      <c r="D38" s="1">
        <f>-D18/D$5</f>
        <v>-2.2108482871125612</v>
      </c>
      <c r="E38" s="1">
        <f>E18/E$5</f>
        <v>0.41349018409594379</v>
      </c>
      <c r="F38" s="1">
        <f>F18/F$5</f>
        <v>0.20558986402249863</v>
      </c>
      <c r="G38" s="1">
        <f>G18/G$5</f>
        <v>0.19934606601619262</v>
      </c>
      <c r="H38" s="1">
        <f>H18/H$5</f>
        <v>0.22385344700867266</v>
      </c>
      <c r="I38" s="26"/>
    </row>
    <row r="40" spans="1:9" x14ac:dyDescent="0.35">
      <c r="A40" s="27"/>
      <c r="B40" s="27"/>
      <c r="C40" s="27"/>
      <c r="D40" s="27"/>
      <c r="E40" s="27"/>
      <c r="F40" s="27"/>
      <c r="G40" s="27"/>
      <c r="H40" s="27"/>
    </row>
    <row r="41" spans="1:9" x14ac:dyDescent="0.35">
      <c r="A41" s="28"/>
      <c r="B41" s="29"/>
      <c r="C41" s="30"/>
      <c r="D41" s="31"/>
      <c r="E41" s="31"/>
      <c r="F41" s="31"/>
      <c r="G41" s="31"/>
      <c r="H41" s="31"/>
    </row>
    <row r="42" spans="1:9" x14ac:dyDescent="0.35">
      <c r="A42" s="28"/>
      <c r="B42" s="32"/>
      <c r="C42" s="30"/>
      <c r="D42" s="33"/>
      <c r="E42" s="33"/>
      <c r="F42" s="33"/>
      <c r="G42" s="33"/>
      <c r="H42" s="33"/>
    </row>
    <row r="43" spans="1:9" x14ac:dyDescent="0.35">
      <c r="A43" s="28"/>
      <c r="B43" s="32"/>
      <c r="C43" s="30"/>
      <c r="D43" s="33"/>
      <c r="E43" s="33"/>
      <c r="F43" s="33"/>
      <c r="G43" s="33"/>
      <c r="H43" s="33"/>
    </row>
    <row r="44" spans="1:9" x14ac:dyDescent="0.35">
      <c r="A44" s="28"/>
      <c r="B44" s="32"/>
      <c r="C44" s="30"/>
      <c r="D44" s="33"/>
      <c r="E44" s="33"/>
      <c r="F44" s="33"/>
      <c r="G44" s="33"/>
      <c r="H44" s="33"/>
    </row>
    <row r="45" spans="1:9" x14ac:dyDescent="0.35">
      <c r="A45" s="28"/>
      <c r="B45" s="28"/>
      <c r="C45" s="30"/>
      <c r="D45" s="33"/>
      <c r="E45" s="33"/>
      <c r="F45" s="33"/>
      <c r="G45" s="33"/>
      <c r="H45" s="33"/>
    </row>
    <row r="46" spans="1:9" x14ac:dyDescent="0.35">
      <c r="A46" s="28"/>
      <c r="B46" s="29"/>
      <c r="C46" s="30"/>
      <c r="D46" s="31"/>
      <c r="E46" s="31"/>
      <c r="F46" s="31"/>
      <c r="G46" s="31"/>
      <c r="H46" s="31"/>
    </row>
    <row r="47" spans="1:9" x14ac:dyDescent="0.35">
      <c r="A47" s="28"/>
      <c r="B47" s="28"/>
      <c r="C47" s="30"/>
      <c r="D47" s="33"/>
      <c r="E47" s="33"/>
      <c r="F47" s="33"/>
      <c r="G47" s="33"/>
      <c r="H47" s="33"/>
    </row>
    <row r="48" spans="1:9" x14ac:dyDescent="0.35">
      <c r="A48" s="28"/>
      <c r="B48" s="28"/>
      <c r="C48" s="30"/>
      <c r="D48" s="33"/>
      <c r="E48" s="33"/>
      <c r="F48" s="33"/>
      <c r="G48" s="33"/>
      <c r="H48" s="33"/>
    </row>
    <row r="49" spans="1:8" x14ac:dyDescent="0.35">
      <c r="A49" s="28"/>
      <c r="B49" s="29"/>
      <c r="C49" s="30"/>
      <c r="D49" s="33"/>
      <c r="E49" s="33"/>
      <c r="F49" s="33"/>
      <c r="G49" s="33"/>
      <c r="H49" s="33"/>
    </row>
    <row r="50" spans="1:8" x14ac:dyDescent="0.35">
      <c r="A50" s="28"/>
      <c r="B50" s="32"/>
      <c r="C50" s="30"/>
      <c r="D50" s="31"/>
      <c r="E50" s="31"/>
      <c r="F50" s="31"/>
      <c r="G50" s="31"/>
      <c r="H50" s="31"/>
    </row>
    <row r="51" spans="1:8" x14ac:dyDescent="0.35">
      <c r="A51" s="28"/>
      <c r="B51" s="28"/>
      <c r="C51" s="30"/>
      <c r="D51" s="33"/>
      <c r="E51" s="33"/>
      <c r="F51" s="33"/>
      <c r="G51" s="33"/>
      <c r="H51" s="33"/>
    </row>
    <row r="52" spans="1:8" x14ac:dyDescent="0.35">
      <c r="A52" s="28"/>
      <c r="B52" s="28"/>
      <c r="C52" s="30"/>
      <c r="D52" s="33"/>
      <c r="E52" s="33"/>
      <c r="F52" s="33"/>
      <c r="G52" s="33"/>
      <c r="H52" s="33"/>
    </row>
    <row r="53" spans="1:8" x14ac:dyDescent="0.35">
      <c r="A53" s="28"/>
      <c r="B53" s="29"/>
      <c r="C53" s="30"/>
      <c r="D53" s="33"/>
      <c r="E53" s="33"/>
      <c r="F53" s="33"/>
      <c r="G53" s="33"/>
      <c r="H53" s="33"/>
    </row>
  </sheetData>
  <conditionalFormatting sqref="D29:I38">
    <cfRule type="cellIs" dxfId="0" priority="1" operator="lessThan">
      <formula>0.1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CCF8-B25F-42B9-852A-1C44977C206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728C-4728-4222-B1B5-960B80A7CFB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 Statement</vt:lpstr>
      <vt:lpstr>Balance Sheet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Cerejo</dc:creator>
  <cp:lastModifiedBy>Stuart Cerejo</cp:lastModifiedBy>
  <cp:lastPrinted>2026-07-07T03:47:39Z</cp:lastPrinted>
  <dcterms:created xsi:type="dcterms:W3CDTF">2026-07-07T01:55:17Z</dcterms:created>
  <dcterms:modified xsi:type="dcterms:W3CDTF">2026-07-07T05:09:11Z</dcterms:modified>
</cp:coreProperties>
</file>